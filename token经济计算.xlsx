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/Desktop/"/>
    </mc:Choice>
  </mc:AlternateContent>
  <xr:revisionPtr revIDLastSave="0" documentId="13_ncr:1_{CC5201C5-E213-DC4E-8162-70CE46584640}" xr6:coauthVersionLast="47" xr6:coauthVersionMax="47" xr10:uidLastSave="{00000000-0000-0000-0000-000000000000}"/>
  <bookViews>
    <workbookView xWindow="20" yWindow="600" windowWidth="28100" windowHeight="15220" xr2:uid="{72329F70-F464-254D-B6B4-51073E54D8E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4" i="1" l="1"/>
  <c r="F11" i="1"/>
  <c r="F13" i="1"/>
  <c r="F12" i="1"/>
  <c r="F10" i="1"/>
  <c r="E14" i="1"/>
  <c r="E13" i="1"/>
  <c r="E12" i="1"/>
  <c r="E11" i="1"/>
  <c r="E10" i="1"/>
  <c r="F4" i="1"/>
  <c r="F5" i="1"/>
  <c r="F3" i="1"/>
  <c r="B12" i="1"/>
  <c r="B11" i="1"/>
  <c r="B10" i="1"/>
  <c r="B9" i="1"/>
  <c r="B5" i="1"/>
  <c r="B4" i="1"/>
</calcChain>
</file>

<file path=xl/sharedStrings.xml><?xml version="1.0" encoding="utf-8"?>
<sst xmlns="http://schemas.openxmlformats.org/spreadsheetml/2006/main" count="25" uniqueCount="19">
  <si>
    <t>prefill</t>
    <phoneticPr fontId="1" type="noConversion"/>
  </si>
  <si>
    <t>prefill tps</t>
    <phoneticPr fontId="1" type="noConversion"/>
  </si>
  <si>
    <t>deode tps</t>
    <phoneticPr fontId="1" type="noConversion"/>
  </si>
  <si>
    <t xml:space="preserve">     prefill cache</t>
    <phoneticPr fontId="1" type="noConversion"/>
  </si>
  <si>
    <t xml:space="preserve">     prefill uncache</t>
    <phoneticPr fontId="1" type="noConversion"/>
  </si>
  <si>
    <t xml:space="preserve">     缓存命中</t>
    <phoneticPr fontId="1" type="noConversion"/>
  </si>
  <si>
    <t>原始数据(token/s)</t>
    <phoneticPr fontId="1" type="noConversion"/>
  </si>
  <si>
    <t>每百万 token/月</t>
    <phoneticPr fontId="1" type="noConversion"/>
  </si>
  <si>
    <t>prefill total</t>
    <phoneticPr fontId="1" type="noConversion"/>
  </si>
  <si>
    <t>deode total</t>
    <phoneticPr fontId="1" type="noConversion"/>
  </si>
  <si>
    <t>目录价格</t>
    <phoneticPr fontId="1" type="noConversion"/>
  </si>
  <si>
    <t xml:space="preserve">   prefill cache</t>
    <phoneticPr fontId="1" type="noConversion"/>
  </si>
  <si>
    <t xml:space="preserve">   prefill uncache</t>
    <phoneticPr fontId="1" type="noConversion"/>
  </si>
  <si>
    <t>decode</t>
    <phoneticPr fontId="1" type="noConversion"/>
  </si>
  <si>
    <t>打五折</t>
    <phoneticPr fontId="1" type="noConversion"/>
  </si>
  <si>
    <t>月总价值</t>
    <phoneticPr fontId="1" type="noConversion"/>
  </si>
  <si>
    <t>1 台</t>
    <phoneticPr fontId="1" type="noConversion"/>
  </si>
  <si>
    <t>4台</t>
    <phoneticPr fontId="1" type="noConversion"/>
  </si>
  <si>
    <t>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</si>
</sst>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A3883-0AF1-A245-BCF1-1672C591156A}">
  <dimension ref="A1:F15"/>
  <sheetViews>
    <sheetView tabSelected="1" topLeftCell="A3" zoomScale="231" workbookViewId="0">
      <selection activeCell="F15" sqref="F15"/>
    </sheetView>
  </sheetViews>
  <sheetFormatPr baseColWidth="10" defaultRowHeight="16"/>
  <cols>
    <col min="1" max="1" width="17.6640625" customWidth="1"/>
    <col min="2" max="2" width="13.1640625" bestFit="1" customWidth="1"/>
    <col min="4" max="4" width="16.5" bestFit="1" customWidth="1"/>
  </cols>
  <sheetData>
    <row r="1" spans="1:6">
      <c r="A1" s="3" t="s">
        <v>6</v>
      </c>
      <c r="B1" s="3"/>
      <c r="D1" s="3" t="s">
        <v>10</v>
      </c>
      <c r="E1" s="3"/>
      <c r="F1" s="3"/>
    </row>
    <row r="2" spans="1:6">
      <c r="A2" t="s">
        <v>1</v>
      </c>
      <c r="B2">
        <v>23366.76</v>
      </c>
      <c r="D2" t="s">
        <v>0</v>
      </c>
      <c r="F2" t="s">
        <v>14</v>
      </c>
    </row>
    <row r="3" spans="1:6">
      <c r="A3" t="s">
        <v>5</v>
      </c>
      <c r="B3" s="1">
        <v>0.9</v>
      </c>
      <c r="D3" s="1" t="s">
        <v>11</v>
      </c>
      <c r="E3">
        <v>2</v>
      </c>
      <c r="F3">
        <f>E3*50%</f>
        <v>1</v>
      </c>
    </row>
    <row r="4" spans="1:6">
      <c r="A4" t="s">
        <v>3</v>
      </c>
      <c r="B4">
        <f>B2*B3</f>
        <v>21030.083999999999</v>
      </c>
      <c r="D4" s="1" t="s">
        <v>12</v>
      </c>
      <c r="E4">
        <v>8</v>
      </c>
      <c r="F4">
        <f t="shared" ref="F4:F5" si="0">E4*50%</f>
        <v>4</v>
      </c>
    </row>
    <row r="5" spans="1:6">
      <c r="A5" t="s">
        <v>4</v>
      </c>
      <c r="B5">
        <f>B2*(1-B3)</f>
        <v>2336.6759999999995</v>
      </c>
      <c r="D5" s="1" t="s">
        <v>13</v>
      </c>
      <c r="E5">
        <v>28</v>
      </c>
      <c r="F5">
        <f t="shared" si="0"/>
        <v>14</v>
      </c>
    </row>
    <row r="6" spans="1:6">
      <c r="A6" t="s">
        <v>2</v>
      </c>
      <c r="B6">
        <v>1402.13</v>
      </c>
    </row>
    <row r="8" spans="1:6">
      <c r="A8" s="3" t="s">
        <v>7</v>
      </c>
      <c r="B8" s="3"/>
      <c r="D8" s="4" t="s">
        <v>15</v>
      </c>
      <c r="E8" s="4"/>
      <c r="F8" s="4"/>
    </row>
    <row r="9" spans="1:6">
      <c r="A9" t="s">
        <v>8</v>
      </c>
      <c r="B9" s="2">
        <f>B2*60*60*24*30/1000000</f>
        <v>60566.641919999987</v>
      </c>
      <c r="D9" t="s">
        <v>8</v>
      </c>
    </row>
    <row r="10" spans="1:6">
      <c r="A10" t="s">
        <v>3</v>
      </c>
      <c r="B10">
        <f>B4*60*60*24*30/1000000</f>
        <v>54509.977728000005</v>
      </c>
      <c r="D10" t="s">
        <v>3</v>
      </c>
      <c r="E10">
        <f>B10*E3</f>
        <v>109019.95545600001</v>
      </c>
      <c r="F10">
        <f>B10*F3</f>
        <v>54509.977728000005</v>
      </c>
    </row>
    <row r="11" spans="1:6">
      <c r="A11" t="s">
        <v>4</v>
      </c>
      <c r="B11">
        <f>B5*60*60*24*30/1000000</f>
        <v>6056.6641919999984</v>
      </c>
      <c r="D11" t="s">
        <v>4</v>
      </c>
      <c r="E11">
        <f>B11*E4</f>
        <v>48453.313535999987</v>
      </c>
      <c r="F11">
        <f>B11*F4</f>
        <v>24226.656767999993</v>
      </c>
    </row>
    <row r="12" spans="1:6">
      <c r="A12" t="s">
        <v>9</v>
      </c>
      <c r="B12">
        <f>B6*60*60*24*30/1000000</f>
        <v>3634.32096</v>
      </c>
      <c r="D12" t="s">
        <v>9</v>
      </c>
      <c r="E12">
        <f>B12*E5</f>
        <v>101760.98688</v>
      </c>
      <c r="F12">
        <f>B12*F5</f>
        <v>50880.493439999998</v>
      </c>
    </row>
    <row r="13" spans="1:6">
      <c r="D13" t="s">
        <v>17</v>
      </c>
      <c r="E13">
        <f>E10+E11+E12</f>
        <v>259234.25587200001</v>
      </c>
      <c r="F13">
        <f>F10+F11+F12</f>
        <v>129617.127936</v>
      </c>
    </row>
    <row r="14" spans="1:6">
      <c r="D14" t="s">
        <v>16</v>
      </c>
      <c r="E14">
        <f>E13/4</f>
        <v>64808.563968000002</v>
      </c>
      <c r="F14">
        <f>F13/4</f>
        <v>32404.281984000001</v>
      </c>
    </row>
    <row r="15" spans="1:6">
      <c r="F15" t="s">
        <v>18</v>
      </c>
    </row>
  </sheetData>
  <mergeCells count="4">
    <mergeCell ref="A1:B1"/>
    <mergeCell ref="A8:B8"/>
    <mergeCell ref="D1:F1"/>
    <mergeCell ref="D8:F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i13568</dc:creator>
  <cp:lastModifiedBy>i13568</cp:lastModifiedBy>
  <dcterms:created xsi:type="dcterms:W3CDTF">2026-09-21T13:26:29Z</dcterms:created>
  <dcterms:modified xsi:type="dcterms:W3CDTF">2026-09-21T14:46:07Z</dcterms:modified>
</cp:coreProperties>
</file>